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id\Downloads\"/>
    </mc:Choice>
  </mc:AlternateContent>
  <xr:revisionPtr revIDLastSave="0" documentId="13_ncr:1_{090712A3-FFDF-4B1C-8D5E-9986340C06F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ventory" sheetId="1" r:id="rId1"/>
    <sheet name="Users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6" i="1" l="1"/>
  <c r="D75" i="1"/>
  <c r="D74" i="1"/>
  <c r="K59" i="1"/>
  <c r="K60" i="1"/>
  <c r="K61" i="1"/>
  <c r="K62" i="1"/>
  <c r="K63" i="1"/>
  <c r="K64" i="1"/>
  <c r="K65" i="1"/>
  <c r="K66" i="1"/>
  <c r="K67" i="1"/>
  <c r="K68" i="1"/>
  <c r="K69" i="1"/>
  <c r="K58" i="1"/>
  <c r="K49" i="1"/>
  <c r="K50" i="1"/>
  <c r="K51" i="1"/>
  <c r="K52" i="1"/>
  <c r="K53" i="1"/>
  <c r="K54" i="1"/>
  <c r="K48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25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8" i="1"/>
  <c r="D73" i="1" s="1"/>
  <c r="D78" i="1"/>
</calcChain>
</file>

<file path=xl/sharedStrings.xml><?xml version="1.0" encoding="utf-8"?>
<sst xmlns="http://schemas.openxmlformats.org/spreadsheetml/2006/main" count="137" uniqueCount="84">
  <si>
    <t>Inventory Management System</t>
  </si>
  <si>
    <t>Spices</t>
  </si>
  <si>
    <t>Status</t>
  </si>
  <si>
    <t>Item Name</t>
  </si>
  <si>
    <t>Description</t>
  </si>
  <si>
    <t>Quantity</t>
  </si>
  <si>
    <t>Unit</t>
  </si>
  <si>
    <t>Cost</t>
  </si>
  <si>
    <t>Min</t>
  </si>
  <si>
    <t>Max</t>
  </si>
  <si>
    <t>Purchase Location</t>
  </si>
  <si>
    <t>Total</t>
  </si>
  <si>
    <t>Bay Leaves</t>
  </si>
  <si>
    <t>Beef Boullion</t>
  </si>
  <si>
    <t>Black Pepper</t>
  </si>
  <si>
    <t>Chicken Boullion</t>
  </si>
  <si>
    <t>Garlic Powder</t>
  </si>
  <si>
    <t>Ginger Powder</t>
  </si>
  <si>
    <t>Nutmeg</t>
  </si>
  <si>
    <t>Onion Powder</t>
  </si>
  <si>
    <t>Pepper Powder</t>
  </si>
  <si>
    <t>Rosemary</t>
  </si>
  <si>
    <t>Sazon</t>
  </si>
  <si>
    <t>Pack(s)</t>
  </si>
  <si>
    <t>Sazon Complete</t>
  </si>
  <si>
    <t>Tomato Boullion</t>
  </si>
  <si>
    <t>??? Leaves</t>
  </si>
  <si>
    <t>Food</t>
  </si>
  <si>
    <t>Anise Seeds</t>
  </si>
  <si>
    <t>Baking Powder</t>
  </si>
  <si>
    <t>Banana Flavor</t>
  </si>
  <si>
    <t>Black Eyed Peas</t>
  </si>
  <si>
    <t>Bag(s)</t>
  </si>
  <si>
    <t>Butter</t>
  </si>
  <si>
    <t>Box(es)</t>
  </si>
  <si>
    <t>Cloves</t>
  </si>
  <si>
    <t>Flour</t>
  </si>
  <si>
    <t>Fufu</t>
  </si>
  <si>
    <t>Hywestia Pepper</t>
  </si>
  <si>
    <t>Negro Pepper</t>
  </si>
  <si>
    <t>Oil</t>
  </si>
  <si>
    <t>Gallon(s)</t>
  </si>
  <si>
    <t>Palm Nut Soup</t>
  </si>
  <si>
    <t>Palm Oil</t>
  </si>
  <si>
    <t>Rice</t>
  </si>
  <si>
    <t>Sugar</t>
  </si>
  <si>
    <t>Vanilla</t>
  </si>
  <si>
    <t>Yam</t>
  </si>
  <si>
    <t>Yeast</t>
  </si>
  <si>
    <t>???</t>
  </si>
  <si>
    <t>Food (cold)</t>
  </si>
  <si>
    <t>Beef</t>
  </si>
  <si>
    <t>Chicken</t>
  </si>
  <si>
    <t>Chofi</t>
  </si>
  <si>
    <t>Cow Feet</t>
  </si>
  <si>
    <t>Cow Stripe</t>
  </si>
  <si>
    <t>Goat</t>
  </si>
  <si>
    <t>Tilapia (box)</t>
  </si>
  <si>
    <t>Vegetables</t>
  </si>
  <si>
    <t>Cabbage</t>
  </si>
  <si>
    <t>Carrots</t>
  </si>
  <si>
    <t>Ginger</t>
  </si>
  <si>
    <t>Green Peppers</t>
  </si>
  <si>
    <t>Hot Peppers</t>
  </si>
  <si>
    <t>Okra</t>
  </si>
  <si>
    <t>Red Onions</t>
  </si>
  <si>
    <t>Red Peppers</t>
  </si>
  <si>
    <t>Spinach</t>
  </si>
  <si>
    <t>Spring Onions</t>
  </si>
  <si>
    <t>Yellow Onions</t>
  </si>
  <si>
    <t>Totals</t>
  </si>
  <si>
    <t>Foods</t>
  </si>
  <si>
    <t>Foods (cold)</t>
  </si>
  <si>
    <t>Total:</t>
  </si>
  <si>
    <t>Admin</t>
  </si>
  <si>
    <t>User</t>
  </si>
  <si>
    <t>Password</t>
  </si>
  <si>
    <t>Role</t>
  </si>
  <si>
    <t>All</t>
  </si>
  <si>
    <t>Inventory</t>
  </si>
  <si>
    <t>Users</t>
  </si>
  <si>
    <t>test</t>
  </si>
  <si>
    <t>user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</si>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</sst>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9">
    <font>
      <sz val="10"/>
      <color rgb="FF000000"/>
      <name val="Arial"/>
      <scheme val="minor"/>
    </font>
    <font>
      <sz val="39"/>
      <color theme="1"/>
      <name val="Comfortaa"/>
    </font>
    <font>
      <b/>
      <sz val="39"/>
      <color theme="1"/>
      <name val="Comfortaa"/>
    </font>
    <font>
      <sz val="14"/>
      <color theme="1"/>
      <name val="Arial"/>
      <scheme val="minor"/>
    </font>
    <font>
      <b/>
      <sz val="10"/>
      <color theme="1"/>
      <name val="Arial"/>
      <scheme val="minor"/>
    </font>
    <font>
      <b/>
      <sz val="14"/>
      <color theme="1"/>
      <name val="Arial"/>
      <scheme val="minor"/>
    </font>
    <font>
      <sz val="14"/>
      <color rgb="FF434343"/>
      <name val="Arial"/>
      <scheme val="minor"/>
    </font>
    <font>
      <b/>
      <sz val="12"/>
      <color theme="1"/>
      <name val="Arial"/>
      <scheme val="minor"/>
    </font>
    <font>
      <sz val="14"/>
      <color rgb="FF000000"/>
      <name val="Arial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164" fontId="3" fillId="0" borderId="0" xfId="0" applyNumberFormat="1" applyFont="1"/>
    <xf numFmtId="0" fontId="7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6" fillId="0" borderId="0" xfId="0" applyFont="1"/>
    <xf numFmtId="164" fontId="3" fillId="0" borderId="2" xfId="0" applyNumberFormat="1" applyFont="1" applyBorder="1"/>
    <xf numFmtId="0" fontId="3" fillId="0" borderId="2" xfId="0" applyFont="1" applyBorder="1"/>
    <xf numFmtId="0" fontId="5" fillId="3" borderId="2" xfId="0" applyFont="1" applyFill="1" applyBorder="1" applyAlignment="1">
      <alignment horizontal="center" vertical="center"/>
    </xf>
    <xf numFmtId="0" fontId="3" fillId="0" borderId="3" xfId="0" applyFont="1" applyBorder="1"/>
    <xf numFmtId="0" fontId="6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6" fillId="0" borderId="5" xfId="0" applyFont="1" applyBorder="1"/>
    <xf numFmtId="164" fontId="3" fillId="0" borderId="5" xfId="0" applyNumberFormat="1" applyFont="1" applyBorder="1"/>
    <xf numFmtId="0" fontId="3" fillId="0" borderId="7" xfId="0" applyFont="1" applyBorder="1"/>
    <xf numFmtId="0" fontId="6" fillId="0" borderId="7" xfId="0" applyFont="1" applyBorder="1"/>
    <xf numFmtId="0" fontId="0" fillId="0" borderId="7" xfId="0" applyBorder="1"/>
    <xf numFmtId="0" fontId="8" fillId="0" borderId="0" xfId="0" applyFont="1"/>
    <xf numFmtId="164" fontId="8" fillId="0" borderId="0" xfId="0" applyNumberFormat="1" applyFont="1"/>
    <xf numFmtId="164" fontId="8" fillId="0" borderId="6" xfId="0" applyNumberFormat="1" applyFont="1" applyBorder="1"/>
    <xf numFmtId="0" fontId="2" fillId="3" borderId="0" xfId="0" applyFont="1" applyFill="1"/>
    <xf numFmtId="0" fontId="0" fillId="0" borderId="0" xfId="0"/>
    <xf numFmtId="0" fontId="5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8" xfId="0" applyBorder="1"/>
    <xf numFmtId="0" fontId="0" fillId="0" borderId="8" xfId="0" applyBorder="1" applyAlignment="1">
      <alignment horizontal="center"/>
    </xf>
  </cellXfs>
  <cellStyles count="1">
    <cellStyle name="Normal" xfId="0" builtinId="0"/>
  </cellStyles>
  <dxfs count="47"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right style="thin">
          <color rgb="FF000000"/>
        </right>
      </border>
    </dxf>
    <dxf>
      <border>
        <left style="thin">
          <color rgb="FF000000"/>
        </left>
        <right style="thin">
          <color rgb="FF000000"/>
        </right>
      </border>
    </dxf>
    <dxf>
      <font>
        <color rgb="FF9C0006"/>
      </font>
      <fill>
        <patternFill patternType="solid"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</dxfs>
  <tableStyles count="4">
    <tableStyle name="Sheet1-style" pivot="0" count="2" xr9:uid="{00000000-0011-0000-FFFF-FFFF00000000}">
      <tableStyleElement type="firstRowStripe" dxfId="46"/>
      <tableStyleElement type="secondRowStripe" dxfId="45"/>
    </tableStyle>
    <tableStyle name="Sheet1-style 2" pivot="0" count="2" xr9:uid="{00000000-0011-0000-FFFF-FFFF01000000}">
      <tableStyleElement type="firstRowStripe" dxfId="44"/>
      <tableStyleElement type="secondRowStripe" dxfId="43"/>
    </tableStyle>
    <tableStyle name="Sheet1-style 3" pivot="0" count="2" xr9:uid="{00000000-0011-0000-FFFF-FFFF02000000}">
      <tableStyleElement type="firstRowStripe" dxfId="42"/>
      <tableStyleElement type="secondRowStripe" dxfId="41"/>
    </tableStyle>
    <tableStyle name="Sheet1-style 4" pivot="0" count="2" xr9:uid="{00000000-0011-0000-FFFF-FFFF03000000}">
      <tableStyleElement type="firstRowStripe" dxfId="40"/>
      <tableStyleElement type="secondRowStripe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72</xdr:row>
      <xdr:rowOff>209550</xdr:rowOff>
    </xdr:from>
    <xdr:to>
      <xdr:col>9</xdr:col>
      <xdr:colOff>1638300</xdr:colOff>
      <xdr:row>75</xdr:row>
      <xdr:rowOff>114300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E53F5511-DD65-2EF8-69B2-A483200CCC98}"/>
            </a:ext>
          </a:extLst>
        </xdr:cNvPr>
        <xdr:cNvSpPr/>
      </xdr:nvSpPr>
      <xdr:spPr>
        <a:xfrm>
          <a:off x="7381875" y="16497300"/>
          <a:ext cx="1609725" cy="590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Save to PDF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C8:K21" headerRowCount="0">
  <tableColumns count="9">
    <tableColumn id="1" xr3:uid="{00000000-0010-0000-0000-000001000000}" name="Column1" dataDxfId="30"/>
    <tableColumn id="2" xr3:uid="{00000000-0010-0000-0000-000002000000}" name="Column2" dataDxfId="29"/>
    <tableColumn id="3" xr3:uid="{00000000-0010-0000-0000-000003000000}" name="Column3" dataDxfId="28"/>
    <tableColumn id="4" xr3:uid="{00000000-0010-0000-0000-000004000000}" name="Column4" dataDxfId="27"/>
    <tableColumn id="5" xr3:uid="{00000000-0010-0000-0000-000005000000}" name="Column5" dataDxfId="26"/>
    <tableColumn id="6" xr3:uid="{00000000-0010-0000-0000-000006000000}" name="Column6" dataDxfId="25"/>
    <tableColumn id="7" xr3:uid="{00000000-0010-0000-0000-000007000000}" name="Column7" dataDxfId="24"/>
    <tableColumn id="8" xr3:uid="{00000000-0010-0000-0000-000008000000}" name="Column8" dataDxfId="23"/>
    <tableColumn id="9" xr3:uid="{00000000-0010-0000-0000-000009000000}" name="Column9">
      <calculatedColumnFormula>E8*G8</calculatedColumnFormula>
    </tableColumn>
  </tableColumns>
  <tableStyleInfo name="Sheet1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25:K44" headerRowCount="0">
  <tableColumns count="9">
    <tableColumn id="1" xr3:uid="{00000000-0010-0000-0100-000001000000}" name="Column1" dataDxfId="22"/>
    <tableColumn id="2" xr3:uid="{00000000-0010-0000-0100-000002000000}" name="Column2" dataDxfId="21"/>
    <tableColumn id="3" xr3:uid="{00000000-0010-0000-0100-000003000000}" name="Column3" dataDxfId="20"/>
    <tableColumn id="4" xr3:uid="{00000000-0010-0000-0100-000004000000}" name="Column4" dataDxfId="19"/>
    <tableColumn id="5" xr3:uid="{00000000-0010-0000-0100-000005000000}" name="Column5" dataDxfId="18"/>
    <tableColumn id="6" xr3:uid="{00000000-0010-0000-0100-000006000000}" name="Column6" dataDxfId="17"/>
    <tableColumn id="7" xr3:uid="{00000000-0010-0000-0100-000007000000}" name="Column7" dataDxfId="16"/>
    <tableColumn id="8" xr3:uid="{00000000-0010-0000-0100-000008000000}" name="Column8" dataDxfId="15"/>
    <tableColumn id="9" xr3:uid="{00000000-0010-0000-0100-000009000000}" name="Column9">
      <calculatedColumnFormula>E25*G25</calculatedColumnFormula>
    </tableColumn>
  </tableColumns>
  <tableStyleInfo name="Sheet1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C48:K54" headerRowCount="0">
  <tableColumns count="9">
    <tableColumn id="1" xr3:uid="{00000000-0010-0000-0200-000001000000}" name="Column1" dataDxfId="14"/>
    <tableColumn id="2" xr3:uid="{00000000-0010-0000-0200-000002000000}" name="Column2" dataDxfId="13"/>
    <tableColumn id="3" xr3:uid="{00000000-0010-0000-0200-000003000000}" name="Column3" dataDxfId="12"/>
    <tableColumn id="4" xr3:uid="{00000000-0010-0000-0200-000004000000}" name="Column4" dataDxfId="11"/>
    <tableColumn id="5" xr3:uid="{00000000-0010-0000-0200-000005000000}" name="Column5"/>
    <tableColumn id="6" xr3:uid="{00000000-0010-0000-0200-000006000000}" name="Column6" dataDxfId="10"/>
    <tableColumn id="7" xr3:uid="{00000000-0010-0000-0200-000007000000}" name="Column7" dataDxfId="9"/>
    <tableColumn id="8" xr3:uid="{00000000-0010-0000-0200-000008000000}" name="Column8" dataDxfId="8"/>
    <tableColumn id="9" xr3:uid="{00000000-0010-0000-0200-000009000000}" name="Column9">
      <calculatedColumnFormula>E48*G48</calculatedColumnFormula>
    </tableColumn>
  </tableColumns>
  <tableStyleInfo name="Sheet1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C58:K69" headerRowCount="0">
  <tableColumns count="9">
    <tableColumn id="1" xr3:uid="{00000000-0010-0000-0300-000001000000}" name="Column1" dataDxfId="7"/>
    <tableColumn id="2" xr3:uid="{00000000-0010-0000-0300-000002000000}" name="Column2" dataDxfId="6"/>
    <tableColumn id="3" xr3:uid="{00000000-0010-0000-0300-000003000000}" name="Column3" dataDxfId="5"/>
    <tableColumn id="4" xr3:uid="{00000000-0010-0000-0300-000004000000}" name="Column4" dataDxfId="4"/>
    <tableColumn id="5" xr3:uid="{00000000-0010-0000-0300-000005000000}" name="Column5" dataDxfId="3"/>
    <tableColumn id="6" xr3:uid="{00000000-0010-0000-0300-000006000000}" name="Column6" dataDxfId="2"/>
    <tableColumn id="7" xr3:uid="{00000000-0010-0000-0300-000007000000}" name="Column7" dataDxfId="1"/>
    <tableColumn id="8" xr3:uid="{00000000-0010-0000-0300-000008000000}" name="Column8" dataDxfId="0"/>
    <tableColumn id="9" xr3:uid="{00000000-0010-0000-0300-000009000000}" name="Column9">
      <calculatedColumnFormula>E58*G58</calculatedColumnFormula>
    </tableColumn>
  </tableColumns>
  <tableStyleInfo name="Sheet1-style 4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2:L78"/>
  <sheetViews>
    <sheetView topLeftCell="A56" workbookViewId="0">
      <selection activeCell="E86" sqref="E86"/>
    </sheetView>
  </sheetViews>
  <sheetFormatPr defaultColWidth="12.5703125" defaultRowHeight="15.75" customHeight="1"/>
  <cols>
    <col min="1" max="1" width="2.85546875" customWidth="1"/>
    <col min="2" max="2" width="11.28515625" customWidth="1"/>
    <col min="3" max="3" width="21.7109375" customWidth="1"/>
    <col min="4" max="4" width="23.85546875" customWidth="1"/>
    <col min="5" max="5" width="9.7109375" customWidth="1"/>
    <col min="6" max="6" width="11.7109375" customWidth="1"/>
    <col min="7" max="9" width="9.7109375" customWidth="1"/>
    <col min="10" max="10" width="26.42578125" customWidth="1"/>
    <col min="11" max="11" width="9.7109375" customWidth="1"/>
  </cols>
  <sheetData>
    <row r="2" spans="1:12" ht="15" customHeight="1">
      <c r="A2" s="1"/>
      <c r="B2" s="27" t="s">
        <v>0</v>
      </c>
      <c r="C2" s="28"/>
      <c r="D2" s="28"/>
      <c r="E2" s="28"/>
      <c r="F2" s="28"/>
      <c r="G2" s="28"/>
      <c r="H2" s="28"/>
      <c r="I2" s="28"/>
      <c r="J2" s="28"/>
      <c r="K2" s="28"/>
    </row>
    <row r="3" spans="1:12" ht="13.5" customHeight="1">
      <c r="A3" s="1"/>
      <c r="B3" s="28"/>
      <c r="C3" s="28"/>
      <c r="D3" s="28"/>
      <c r="E3" s="28"/>
      <c r="F3" s="28"/>
      <c r="G3" s="28"/>
      <c r="H3" s="28"/>
      <c r="I3" s="28"/>
      <c r="J3" s="28"/>
      <c r="K3" s="28"/>
    </row>
    <row r="4" spans="1:12" ht="20.25" customHeight="1">
      <c r="A4" s="1"/>
      <c r="B4" s="28"/>
      <c r="C4" s="28"/>
      <c r="D4" s="28"/>
      <c r="E4" s="28"/>
      <c r="F4" s="28"/>
      <c r="G4" s="28"/>
      <c r="H4" s="28"/>
      <c r="I4" s="28"/>
      <c r="J4" s="28"/>
      <c r="K4" s="28"/>
    </row>
    <row r="5" spans="1:12" ht="9.75" customHeight="1">
      <c r="A5" s="2"/>
      <c r="B5" s="3"/>
      <c r="C5" s="3"/>
      <c r="D5" s="3"/>
      <c r="E5" s="3"/>
      <c r="F5" s="3"/>
      <c r="G5" s="3"/>
      <c r="H5" s="3"/>
      <c r="I5" s="3"/>
      <c r="J5" s="3"/>
      <c r="K5" s="3"/>
      <c r="L5" s="4"/>
    </row>
    <row r="6" spans="1:12" ht="24.75" customHeight="1">
      <c r="A6" s="2"/>
      <c r="B6" s="30" t="s">
        <v>1</v>
      </c>
      <c r="C6" s="28"/>
      <c r="D6" s="28"/>
      <c r="E6" s="28"/>
      <c r="F6" s="28"/>
      <c r="G6" s="28"/>
      <c r="H6" s="28"/>
      <c r="I6" s="28"/>
      <c r="J6" s="28"/>
      <c r="K6" s="28"/>
      <c r="L6" s="4"/>
    </row>
    <row r="7" spans="1:12" ht="18">
      <c r="A7" s="5"/>
      <c r="B7" s="6" t="s">
        <v>2</v>
      </c>
      <c r="C7" s="6" t="s">
        <v>3</v>
      </c>
      <c r="D7" s="6" t="s">
        <v>4</v>
      </c>
      <c r="E7" s="8" t="s">
        <v>5</v>
      </c>
      <c r="F7" s="6" t="s">
        <v>6</v>
      </c>
      <c r="G7" s="6" t="s">
        <v>7</v>
      </c>
      <c r="H7" s="6" t="s">
        <v>8</v>
      </c>
      <c r="I7" s="6" t="s">
        <v>9</v>
      </c>
      <c r="J7" s="6" t="s">
        <v>10</v>
      </c>
      <c r="K7" s="6" t="s">
        <v>11</v>
      </c>
      <c r="L7" s="4"/>
    </row>
    <row r="8" spans="1:12" ht="18">
      <c r="A8" s="4"/>
      <c r="B8" s="10"/>
      <c r="C8" s="15" t="s">
        <v>12</v>
      </c>
      <c r="D8" s="16"/>
      <c r="E8" s="13">
        <v>1</v>
      </c>
      <c r="F8" s="13"/>
      <c r="G8" s="12">
        <v>2.5</v>
      </c>
      <c r="H8" s="13">
        <v>1</v>
      </c>
      <c r="I8" s="13">
        <v>2</v>
      </c>
      <c r="J8" s="13"/>
      <c r="K8" s="12">
        <f>E8*G8</f>
        <v>2.5</v>
      </c>
      <c r="L8" s="4"/>
    </row>
    <row r="9" spans="1:12" ht="18">
      <c r="A9" s="4"/>
      <c r="B9" s="10"/>
      <c r="C9" s="15" t="s">
        <v>13</v>
      </c>
      <c r="D9" s="16"/>
      <c r="E9" s="13">
        <v>1</v>
      </c>
      <c r="F9" s="13"/>
      <c r="G9" s="12">
        <v>2</v>
      </c>
      <c r="H9" s="13">
        <v>1</v>
      </c>
      <c r="I9" s="13">
        <v>8</v>
      </c>
      <c r="J9" s="13"/>
      <c r="K9" s="12">
        <f t="shared" ref="K9:K21" si="0">E9*G9</f>
        <v>2</v>
      </c>
      <c r="L9" s="4"/>
    </row>
    <row r="10" spans="1:12" ht="18">
      <c r="A10" s="4"/>
      <c r="B10" s="10"/>
      <c r="C10" s="15" t="s">
        <v>14</v>
      </c>
      <c r="D10" s="16"/>
      <c r="E10" s="13">
        <v>2</v>
      </c>
      <c r="F10" s="13"/>
      <c r="G10" s="12">
        <v>1.5</v>
      </c>
      <c r="H10" s="13">
        <v>1</v>
      </c>
      <c r="I10" s="13">
        <v>2</v>
      </c>
      <c r="J10" s="13"/>
      <c r="K10" s="12">
        <f t="shared" si="0"/>
        <v>3</v>
      </c>
      <c r="L10" s="4"/>
    </row>
    <row r="11" spans="1:12" ht="18">
      <c r="A11" s="4"/>
      <c r="B11" s="10"/>
      <c r="C11" s="15" t="s">
        <v>15</v>
      </c>
      <c r="D11" s="16"/>
      <c r="E11" s="13">
        <v>5</v>
      </c>
      <c r="F11" s="13"/>
      <c r="G11" s="12">
        <v>3.25</v>
      </c>
      <c r="H11" s="13">
        <v>1</v>
      </c>
      <c r="I11" s="13">
        <v>8</v>
      </c>
      <c r="J11" s="13"/>
      <c r="K11" s="12">
        <f t="shared" si="0"/>
        <v>16.25</v>
      </c>
      <c r="L11" s="4"/>
    </row>
    <row r="12" spans="1:12" ht="18">
      <c r="A12" s="4"/>
      <c r="B12" s="10"/>
      <c r="C12" s="15" t="s">
        <v>16</v>
      </c>
      <c r="D12" s="16"/>
      <c r="E12" s="13">
        <v>5</v>
      </c>
      <c r="F12" s="13"/>
      <c r="G12" s="12">
        <v>2.75</v>
      </c>
      <c r="H12" s="13">
        <v>1</v>
      </c>
      <c r="I12" s="13">
        <v>6</v>
      </c>
      <c r="J12" s="13"/>
      <c r="K12" s="12">
        <f t="shared" si="0"/>
        <v>13.75</v>
      </c>
      <c r="L12" s="4"/>
    </row>
    <row r="13" spans="1:12" ht="18">
      <c r="A13" s="4"/>
      <c r="B13" s="10"/>
      <c r="C13" s="15" t="s">
        <v>17</v>
      </c>
      <c r="D13" s="16"/>
      <c r="E13" s="13">
        <v>5</v>
      </c>
      <c r="F13" s="13"/>
      <c r="G13" s="12">
        <v>2.75</v>
      </c>
      <c r="H13" s="13">
        <v>1</v>
      </c>
      <c r="I13" s="13">
        <v>6</v>
      </c>
      <c r="J13" s="13"/>
      <c r="K13" s="12">
        <f t="shared" si="0"/>
        <v>13.75</v>
      </c>
      <c r="L13" s="4"/>
    </row>
    <row r="14" spans="1:12" ht="18">
      <c r="A14" s="4"/>
      <c r="B14" s="10"/>
      <c r="C14" s="15" t="s">
        <v>18</v>
      </c>
      <c r="D14" s="16"/>
      <c r="E14" s="13">
        <v>2</v>
      </c>
      <c r="F14" s="13"/>
      <c r="G14" s="12">
        <v>3.25</v>
      </c>
      <c r="H14" s="13">
        <v>1</v>
      </c>
      <c r="I14" s="13">
        <v>2</v>
      </c>
      <c r="J14" s="13"/>
      <c r="K14" s="12">
        <f t="shared" si="0"/>
        <v>6.5</v>
      </c>
      <c r="L14" s="4"/>
    </row>
    <row r="15" spans="1:12" ht="18">
      <c r="A15" s="4"/>
      <c r="B15" s="10"/>
      <c r="C15" s="15" t="s">
        <v>19</v>
      </c>
      <c r="D15" s="16"/>
      <c r="E15" s="13">
        <v>6</v>
      </c>
      <c r="F15" s="13"/>
      <c r="G15" s="12">
        <v>2.75</v>
      </c>
      <c r="H15" s="13">
        <v>1</v>
      </c>
      <c r="I15" s="13">
        <v>6</v>
      </c>
      <c r="J15" s="13"/>
      <c r="K15" s="12">
        <f t="shared" si="0"/>
        <v>16.5</v>
      </c>
      <c r="L15" s="4"/>
    </row>
    <row r="16" spans="1:12" ht="18">
      <c r="A16" s="4"/>
      <c r="B16" s="10"/>
      <c r="C16" s="15" t="s">
        <v>20</v>
      </c>
      <c r="D16" s="16"/>
      <c r="E16" s="13">
        <v>2</v>
      </c>
      <c r="F16" s="13"/>
      <c r="G16" s="12">
        <v>2.75</v>
      </c>
      <c r="H16" s="13">
        <v>1</v>
      </c>
      <c r="I16" s="13">
        <v>2</v>
      </c>
      <c r="J16" s="13"/>
      <c r="K16" s="12">
        <f t="shared" si="0"/>
        <v>5.5</v>
      </c>
      <c r="L16" s="4"/>
    </row>
    <row r="17" spans="1:12" ht="18">
      <c r="A17" s="4"/>
      <c r="B17" s="10"/>
      <c r="C17" s="15" t="s">
        <v>21</v>
      </c>
      <c r="D17" s="16"/>
      <c r="E17" s="13">
        <v>2</v>
      </c>
      <c r="F17" s="13"/>
      <c r="G17" s="12">
        <v>3</v>
      </c>
      <c r="H17" s="13">
        <v>1</v>
      </c>
      <c r="I17" s="13">
        <v>2</v>
      </c>
      <c r="J17" s="13"/>
      <c r="K17" s="12">
        <f t="shared" si="0"/>
        <v>6</v>
      </c>
      <c r="L17" s="4"/>
    </row>
    <row r="18" spans="1:12" ht="18">
      <c r="A18" s="4"/>
      <c r="B18" s="10"/>
      <c r="C18" s="15" t="s">
        <v>22</v>
      </c>
      <c r="D18" s="16"/>
      <c r="E18" s="13">
        <v>2</v>
      </c>
      <c r="F18" s="13" t="s">
        <v>23</v>
      </c>
      <c r="G18" s="12">
        <v>3.25</v>
      </c>
      <c r="H18" s="13">
        <v>1</v>
      </c>
      <c r="I18" s="13">
        <v>2</v>
      </c>
      <c r="J18" s="13"/>
      <c r="K18" s="12">
        <f t="shared" si="0"/>
        <v>6.5</v>
      </c>
      <c r="L18" s="4"/>
    </row>
    <row r="19" spans="1:12" ht="18">
      <c r="A19" s="4"/>
      <c r="B19" s="10"/>
      <c r="C19" s="15" t="s">
        <v>24</v>
      </c>
      <c r="D19" s="16"/>
      <c r="E19" s="13">
        <v>2</v>
      </c>
      <c r="F19" s="13"/>
      <c r="G19" s="12">
        <v>3.25</v>
      </c>
      <c r="H19" s="13">
        <v>1</v>
      </c>
      <c r="I19" s="13">
        <v>2</v>
      </c>
      <c r="J19" s="13"/>
      <c r="K19" s="12">
        <f t="shared" si="0"/>
        <v>6.5</v>
      </c>
      <c r="L19" s="4"/>
    </row>
    <row r="20" spans="1:12" ht="18">
      <c r="A20" s="4"/>
      <c r="B20" s="10"/>
      <c r="C20" s="15" t="s">
        <v>25</v>
      </c>
      <c r="D20" s="16"/>
      <c r="E20" s="13">
        <v>5</v>
      </c>
      <c r="F20" s="13"/>
      <c r="G20" s="12">
        <v>3.25</v>
      </c>
      <c r="H20" s="13">
        <v>1</v>
      </c>
      <c r="I20" s="13">
        <v>8</v>
      </c>
      <c r="J20" s="13"/>
      <c r="K20" s="12">
        <f t="shared" si="0"/>
        <v>16.25</v>
      </c>
      <c r="L20" s="4"/>
    </row>
    <row r="21" spans="1:12" ht="18">
      <c r="A21" s="4"/>
      <c r="B21" s="10"/>
      <c r="C21" s="15" t="s">
        <v>26</v>
      </c>
      <c r="D21" s="16"/>
      <c r="E21" s="13">
        <v>1</v>
      </c>
      <c r="F21" s="13" t="s">
        <v>23</v>
      </c>
      <c r="G21" s="12">
        <v>2.75</v>
      </c>
      <c r="H21" s="13">
        <v>1</v>
      </c>
      <c r="I21" s="13">
        <v>10</v>
      </c>
      <c r="J21" s="13"/>
      <c r="K21" s="12">
        <f t="shared" si="0"/>
        <v>2.75</v>
      </c>
      <c r="L21" s="4"/>
    </row>
    <row r="22" spans="1:12" ht="18">
      <c r="A22" s="4"/>
      <c r="B22" s="21"/>
      <c r="C22" s="21"/>
      <c r="D22" s="22"/>
      <c r="E22" s="21"/>
      <c r="F22" s="21"/>
      <c r="G22" s="21"/>
      <c r="H22" s="21"/>
      <c r="I22" s="21"/>
      <c r="J22" s="21"/>
      <c r="K22" s="21"/>
      <c r="L22" s="4"/>
    </row>
    <row r="23" spans="1:12" ht="18">
      <c r="A23" s="4"/>
      <c r="B23" s="31" t="s">
        <v>27</v>
      </c>
      <c r="C23" s="28"/>
      <c r="D23" s="28"/>
      <c r="E23" s="28"/>
      <c r="F23" s="28"/>
      <c r="G23" s="28"/>
      <c r="H23" s="28"/>
      <c r="I23" s="28"/>
      <c r="J23" s="28"/>
      <c r="K23" s="32"/>
      <c r="L23" s="4"/>
    </row>
    <row r="24" spans="1:12" ht="18">
      <c r="A24" s="4"/>
      <c r="B24" s="9" t="s">
        <v>2</v>
      </c>
      <c r="C24" s="6" t="s">
        <v>3</v>
      </c>
      <c r="D24" s="6" t="s">
        <v>4</v>
      </c>
      <c r="E24" s="8" t="s">
        <v>5</v>
      </c>
      <c r="F24" s="6" t="s">
        <v>6</v>
      </c>
      <c r="G24" s="6" t="s">
        <v>7</v>
      </c>
      <c r="H24" s="6" t="s">
        <v>8</v>
      </c>
      <c r="I24" s="6" t="s">
        <v>9</v>
      </c>
      <c r="J24" s="6" t="s">
        <v>10</v>
      </c>
      <c r="K24" s="14" t="s">
        <v>11</v>
      </c>
      <c r="L24" s="4"/>
    </row>
    <row r="25" spans="1:12" ht="18">
      <c r="A25" s="4"/>
      <c r="B25" s="15"/>
      <c r="C25" s="13" t="s">
        <v>28</v>
      </c>
      <c r="D25" s="16"/>
      <c r="E25" s="13">
        <v>4</v>
      </c>
      <c r="F25" s="13" t="s">
        <v>23</v>
      </c>
      <c r="G25" s="12">
        <v>4.5</v>
      </c>
      <c r="H25" s="13">
        <v>2</v>
      </c>
      <c r="I25" s="13">
        <v>10</v>
      </c>
      <c r="J25" s="13"/>
      <c r="K25" s="12">
        <f>E25*G25</f>
        <v>18</v>
      </c>
      <c r="L25" s="4"/>
    </row>
    <row r="26" spans="1:12" ht="18">
      <c r="A26" s="4"/>
      <c r="B26" s="15"/>
      <c r="C26" s="13" t="s">
        <v>29</v>
      </c>
      <c r="D26" s="16"/>
      <c r="E26" s="13">
        <v>2</v>
      </c>
      <c r="F26" s="13"/>
      <c r="G26" s="12">
        <v>3.5</v>
      </c>
      <c r="H26" s="13">
        <v>1</v>
      </c>
      <c r="I26" s="13">
        <v>2</v>
      </c>
      <c r="J26" s="13"/>
      <c r="K26" s="12">
        <f t="shared" ref="K26:K44" si="1">E26*G26</f>
        <v>7</v>
      </c>
      <c r="L26" s="4"/>
    </row>
    <row r="27" spans="1:12" ht="18">
      <c r="A27" s="4"/>
      <c r="B27" s="15"/>
      <c r="C27" s="13" t="s">
        <v>30</v>
      </c>
      <c r="D27" s="16"/>
      <c r="E27" s="13">
        <v>3</v>
      </c>
      <c r="F27" s="13"/>
      <c r="G27" s="12">
        <v>3.5</v>
      </c>
      <c r="H27" s="13">
        <v>1</v>
      </c>
      <c r="I27" s="13">
        <v>4</v>
      </c>
      <c r="J27" s="13"/>
      <c r="K27" s="12">
        <f t="shared" si="1"/>
        <v>10.5</v>
      </c>
      <c r="L27" s="4"/>
    </row>
    <row r="28" spans="1:12" ht="18">
      <c r="A28" s="4"/>
      <c r="B28" s="15"/>
      <c r="C28" s="13" t="s">
        <v>31</v>
      </c>
      <c r="D28" s="16"/>
      <c r="E28" s="13">
        <v>1</v>
      </c>
      <c r="F28" s="13" t="s">
        <v>32</v>
      </c>
      <c r="G28" s="12">
        <v>3.5</v>
      </c>
      <c r="H28" s="13">
        <v>1</v>
      </c>
      <c r="I28" s="13">
        <v>1</v>
      </c>
      <c r="J28" s="13"/>
      <c r="K28" s="12">
        <f t="shared" si="1"/>
        <v>3.5</v>
      </c>
      <c r="L28" s="4"/>
    </row>
    <row r="29" spans="1:12" ht="18">
      <c r="A29" s="4"/>
      <c r="B29" s="15"/>
      <c r="C29" s="13" t="s">
        <v>33</v>
      </c>
      <c r="D29" s="16"/>
      <c r="E29" s="13">
        <v>2</v>
      </c>
      <c r="F29" s="13" t="s">
        <v>34</v>
      </c>
      <c r="G29" s="12">
        <v>3.75</v>
      </c>
      <c r="H29" s="13">
        <v>1</v>
      </c>
      <c r="I29" s="13">
        <v>2</v>
      </c>
      <c r="J29" s="13"/>
      <c r="K29" s="12">
        <f t="shared" si="1"/>
        <v>7.5</v>
      </c>
      <c r="L29" s="4"/>
    </row>
    <row r="30" spans="1:12" ht="18">
      <c r="A30" s="4"/>
      <c r="B30" s="15"/>
      <c r="C30" s="13" t="s">
        <v>35</v>
      </c>
      <c r="D30" s="16"/>
      <c r="E30" s="13">
        <v>5</v>
      </c>
      <c r="F30" s="13" t="s">
        <v>23</v>
      </c>
      <c r="G30" s="12">
        <v>3.25</v>
      </c>
      <c r="H30" s="13">
        <v>2</v>
      </c>
      <c r="I30" s="13">
        <v>10</v>
      </c>
      <c r="J30" s="13"/>
      <c r="K30" s="12">
        <f t="shared" si="1"/>
        <v>16.25</v>
      </c>
      <c r="L30" s="4"/>
    </row>
    <row r="31" spans="1:12" ht="18">
      <c r="A31" s="4"/>
      <c r="B31" s="15"/>
      <c r="C31" s="13" t="s">
        <v>36</v>
      </c>
      <c r="D31" s="16"/>
      <c r="E31" s="13">
        <v>4</v>
      </c>
      <c r="F31" s="13"/>
      <c r="G31" s="12">
        <v>2.5</v>
      </c>
      <c r="H31" s="13">
        <v>1</v>
      </c>
      <c r="I31" s="13">
        <v>4</v>
      </c>
      <c r="J31" s="13"/>
      <c r="K31" s="12">
        <f t="shared" si="1"/>
        <v>10</v>
      </c>
      <c r="L31" s="4"/>
    </row>
    <row r="32" spans="1:12" ht="18">
      <c r="A32" s="4"/>
      <c r="B32" s="15"/>
      <c r="C32" s="13" t="s">
        <v>37</v>
      </c>
      <c r="D32" s="16"/>
      <c r="E32" s="13">
        <v>1</v>
      </c>
      <c r="F32" s="13" t="s">
        <v>34</v>
      </c>
      <c r="G32" s="12">
        <v>7.5</v>
      </c>
      <c r="H32" s="13">
        <v>1</v>
      </c>
      <c r="I32" s="13">
        <v>1</v>
      </c>
      <c r="J32" s="13"/>
      <c r="K32" s="12">
        <f t="shared" si="1"/>
        <v>7.5</v>
      </c>
      <c r="L32" s="4"/>
    </row>
    <row r="33" spans="1:12" ht="18">
      <c r="A33" s="4"/>
      <c r="B33" s="15"/>
      <c r="C33" s="13" t="s">
        <v>38</v>
      </c>
      <c r="D33" s="16" t="s">
        <v>39</v>
      </c>
      <c r="E33" s="13">
        <v>5</v>
      </c>
      <c r="F33" s="13" t="s">
        <v>23</v>
      </c>
      <c r="G33" s="12">
        <v>5.5</v>
      </c>
      <c r="H33" s="13">
        <v>2</v>
      </c>
      <c r="I33" s="13">
        <v>10</v>
      </c>
      <c r="J33" s="13"/>
      <c r="K33" s="12">
        <f t="shared" si="1"/>
        <v>27.5</v>
      </c>
      <c r="L33" s="4"/>
    </row>
    <row r="34" spans="1:12" ht="18">
      <c r="A34" s="4"/>
      <c r="B34" s="15"/>
      <c r="C34" s="13" t="s">
        <v>40</v>
      </c>
      <c r="D34" s="16"/>
      <c r="E34" s="13">
        <v>5</v>
      </c>
      <c r="F34" s="13" t="s">
        <v>41</v>
      </c>
      <c r="G34" s="12">
        <v>4.75</v>
      </c>
      <c r="H34" s="13">
        <v>1</v>
      </c>
      <c r="I34" s="13">
        <v>10</v>
      </c>
      <c r="J34" s="13"/>
      <c r="K34" s="12">
        <f t="shared" si="1"/>
        <v>23.75</v>
      </c>
      <c r="L34" s="4"/>
    </row>
    <row r="35" spans="1:12" ht="18">
      <c r="A35" s="4"/>
      <c r="B35" s="15"/>
      <c r="C35" s="13" t="s">
        <v>42</v>
      </c>
      <c r="D35" s="16"/>
      <c r="E35" s="13">
        <v>3</v>
      </c>
      <c r="F35" s="13"/>
      <c r="G35" s="12">
        <v>3.75</v>
      </c>
      <c r="H35" s="13">
        <v>1</v>
      </c>
      <c r="I35" s="13">
        <v>4</v>
      </c>
      <c r="J35" s="13"/>
      <c r="K35" s="12">
        <f t="shared" si="1"/>
        <v>11.25</v>
      </c>
      <c r="L35" s="4"/>
    </row>
    <row r="36" spans="1:12" ht="18">
      <c r="A36" s="4"/>
      <c r="B36" s="15"/>
      <c r="C36" s="13" t="s">
        <v>43</v>
      </c>
      <c r="D36" s="16"/>
      <c r="E36" s="13">
        <v>2</v>
      </c>
      <c r="F36" s="13" t="s">
        <v>41</v>
      </c>
      <c r="G36" s="12">
        <v>3.75</v>
      </c>
      <c r="H36" s="13">
        <v>1</v>
      </c>
      <c r="I36" s="13">
        <v>2</v>
      </c>
      <c r="J36" s="13"/>
      <c r="K36" s="12">
        <f t="shared" si="1"/>
        <v>7.5</v>
      </c>
      <c r="L36" s="4"/>
    </row>
    <row r="37" spans="1:12" ht="18">
      <c r="A37" s="4"/>
      <c r="B37" s="15"/>
      <c r="C37" s="13" t="s">
        <v>44</v>
      </c>
      <c r="D37" s="16"/>
      <c r="E37" s="13">
        <v>5</v>
      </c>
      <c r="F37" s="13"/>
      <c r="G37" s="12">
        <v>3.5</v>
      </c>
      <c r="H37" s="13">
        <v>1</v>
      </c>
      <c r="I37" s="13">
        <v>10</v>
      </c>
      <c r="J37" s="13"/>
      <c r="K37" s="12">
        <f t="shared" si="1"/>
        <v>17.5</v>
      </c>
      <c r="L37" s="4"/>
    </row>
    <row r="38" spans="1:12" ht="18">
      <c r="A38" s="4"/>
      <c r="B38" s="15"/>
      <c r="C38" s="13" t="s">
        <v>45</v>
      </c>
      <c r="D38" s="16"/>
      <c r="E38" s="13">
        <v>3</v>
      </c>
      <c r="F38" s="13"/>
      <c r="G38" s="12">
        <v>3.25</v>
      </c>
      <c r="H38" s="13">
        <v>1</v>
      </c>
      <c r="I38" s="13">
        <v>4</v>
      </c>
      <c r="J38" s="13"/>
      <c r="K38" s="12">
        <f t="shared" si="1"/>
        <v>9.75</v>
      </c>
      <c r="L38" s="4"/>
    </row>
    <row r="39" spans="1:12" ht="18">
      <c r="A39" s="4"/>
      <c r="B39" s="15"/>
      <c r="C39" s="13" t="s">
        <v>46</v>
      </c>
      <c r="D39" s="16"/>
      <c r="E39" s="13">
        <v>4</v>
      </c>
      <c r="F39" s="13"/>
      <c r="G39" s="12">
        <v>4.25</v>
      </c>
      <c r="H39" s="13">
        <v>1</v>
      </c>
      <c r="I39" s="13">
        <v>6</v>
      </c>
      <c r="J39" s="13"/>
      <c r="K39" s="12">
        <f t="shared" si="1"/>
        <v>17</v>
      </c>
      <c r="L39" s="4"/>
    </row>
    <row r="40" spans="1:12" ht="18">
      <c r="A40" s="4"/>
      <c r="B40" s="15"/>
      <c r="C40" s="13" t="s">
        <v>47</v>
      </c>
      <c r="D40" s="16"/>
      <c r="E40" s="13">
        <v>1</v>
      </c>
      <c r="F40" s="13" t="s">
        <v>34</v>
      </c>
      <c r="G40" s="12">
        <v>4</v>
      </c>
      <c r="H40" s="13">
        <v>1</v>
      </c>
      <c r="I40" s="13">
        <v>1</v>
      </c>
      <c r="J40" s="13"/>
      <c r="K40" s="12">
        <f t="shared" si="1"/>
        <v>4</v>
      </c>
      <c r="L40" s="4"/>
    </row>
    <row r="41" spans="1:12" ht="18">
      <c r="A41" s="4"/>
      <c r="B41" s="15"/>
      <c r="C41" s="13" t="s">
        <v>48</v>
      </c>
      <c r="D41" s="16"/>
      <c r="E41" s="13">
        <v>3</v>
      </c>
      <c r="F41" s="13" t="s">
        <v>23</v>
      </c>
      <c r="G41" s="12">
        <v>4.5</v>
      </c>
      <c r="H41" s="13">
        <v>1</v>
      </c>
      <c r="I41" s="13">
        <v>6</v>
      </c>
      <c r="J41" s="13"/>
      <c r="K41" s="12">
        <f t="shared" si="1"/>
        <v>13.5</v>
      </c>
      <c r="L41" s="4"/>
    </row>
    <row r="42" spans="1:12" ht="18">
      <c r="A42" s="4"/>
      <c r="B42" s="15"/>
      <c r="C42" s="13" t="s">
        <v>49</v>
      </c>
      <c r="D42" s="16"/>
      <c r="E42" s="13"/>
      <c r="F42" s="13"/>
      <c r="G42" s="12"/>
      <c r="H42" s="13"/>
      <c r="I42" s="13"/>
      <c r="J42" s="13"/>
      <c r="K42" s="12">
        <f t="shared" si="1"/>
        <v>0</v>
      </c>
      <c r="L42" s="4"/>
    </row>
    <row r="43" spans="1:12" ht="18">
      <c r="A43" s="4"/>
      <c r="B43" s="15"/>
      <c r="C43" s="13" t="s">
        <v>49</v>
      </c>
      <c r="D43" s="16"/>
      <c r="E43" s="13"/>
      <c r="F43" s="13"/>
      <c r="G43" s="12"/>
      <c r="H43" s="13"/>
      <c r="I43" s="13"/>
      <c r="J43" s="13"/>
      <c r="K43" s="12">
        <f t="shared" si="1"/>
        <v>0</v>
      </c>
      <c r="L43" s="4"/>
    </row>
    <row r="44" spans="1:12" ht="18">
      <c r="A44" s="4"/>
      <c r="B44" s="17"/>
      <c r="C44" s="18" t="s">
        <v>49</v>
      </c>
      <c r="D44" s="19"/>
      <c r="E44" s="18"/>
      <c r="F44" s="18"/>
      <c r="G44" s="20"/>
      <c r="H44" s="18"/>
      <c r="I44" s="18"/>
      <c r="J44" s="18"/>
      <c r="K44" s="20">
        <f t="shared" si="1"/>
        <v>0</v>
      </c>
      <c r="L44" s="4"/>
    </row>
    <row r="45" spans="1:12" ht="18">
      <c r="A45" s="4"/>
      <c r="B45" s="4"/>
      <c r="C45" s="4"/>
      <c r="D45" s="11"/>
      <c r="E45" s="4"/>
      <c r="F45" s="4"/>
      <c r="G45" s="4"/>
      <c r="H45" s="4"/>
      <c r="I45" s="4"/>
      <c r="J45" s="4"/>
      <c r="K45" s="4"/>
      <c r="L45" s="4"/>
    </row>
    <row r="46" spans="1:12" ht="18">
      <c r="A46" s="4"/>
      <c r="B46" s="31" t="s">
        <v>50</v>
      </c>
      <c r="C46" s="28"/>
      <c r="D46" s="28"/>
      <c r="E46" s="28"/>
      <c r="F46" s="28"/>
      <c r="G46" s="28"/>
      <c r="H46" s="28"/>
      <c r="I46" s="28"/>
      <c r="J46" s="28"/>
      <c r="K46" s="32"/>
      <c r="L46" s="4"/>
    </row>
    <row r="47" spans="1:12" ht="18">
      <c r="A47" s="4"/>
      <c r="B47" s="9" t="s">
        <v>2</v>
      </c>
      <c r="C47" s="6" t="s">
        <v>3</v>
      </c>
      <c r="D47" s="6" t="s">
        <v>4</v>
      </c>
      <c r="E47" s="8" t="s">
        <v>5</v>
      </c>
      <c r="F47" s="6" t="s">
        <v>6</v>
      </c>
      <c r="G47" s="6" t="s">
        <v>7</v>
      </c>
      <c r="H47" s="6" t="s">
        <v>8</v>
      </c>
      <c r="I47" s="6" t="s">
        <v>9</v>
      </c>
      <c r="J47" s="6" t="s">
        <v>10</v>
      </c>
      <c r="K47" s="14" t="s">
        <v>11</v>
      </c>
      <c r="L47" s="4"/>
    </row>
    <row r="48" spans="1:12" ht="18">
      <c r="A48" s="4"/>
      <c r="B48" s="15"/>
      <c r="C48" s="13" t="s">
        <v>51</v>
      </c>
      <c r="D48" s="16"/>
      <c r="E48" s="13">
        <v>2</v>
      </c>
      <c r="F48" s="13"/>
      <c r="G48" s="12">
        <v>8.5</v>
      </c>
      <c r="H48" s="13">
        <v>1</v>
      </c>
      <c r="I48" s="13">
        <v>2</v>
      </c>
      <c r="J48" s="13"/>
      <c r="K48" s="12">
        <f>E48*G48</f>
        <v>17</v>
      </c>
      <c r="L48" s="4"/>
    </row>
    <row r="49" spans="1:12" ht="18">
      <c r="A49" s="4"/>
      <c r="B49" s="15"/>
      <c r="C49" s="13" t="s">
        <v>52</v>
      </c>
      <c r="D49" s="16"/>
      <c r="E49" s="13">
        <v>4</v>
      </c>
      <c r="F49" s="13"/>
      <c r="G49" s="12">
        <v>7.5</v>
      </c>
      <c r="H49" s="13">
        <v>1</v>
      </c>
      <c r="I49" s="13">
        <v>4</v>
      </c>
      <c r="J49" s="13"/>
      <c r="K49" s="12">
        <f t="shared" ref="K49:K54" si="2">E49*G49</f>
        <v>30</v>
      </c>
      <c r="L49" s="4"/>
    </row>
    <row r="50" spans="1:12" ht="18">
      <c r="A50" s="4"/>
      <c r="B50" s="15"/>
      <c r="C50" s="13" t="s">
        <v>53</v>
      </c>
      <c r="D50" s="16"/>
      <c r="E50" s="13">
        <v>4</v>
      </c>
      <c r="F50" s="13"/>
      <c r="G50" s="12">
        <v>7</v>
      </c>
      <c r="H50" s="13">
        <v>1</v>
      </c>
      <c r="I50" s="13">
        <v>4</v>
      </c>
      <c r="J50" s="13"/>
      <c r="K50" s="12">
        <f t="shared" si="2"/>
        <v>28</v>
      </c>
      <c r="L50" s="4"/>
    </row>
    <row r="51" spans="1:12" ht="18">
      <c r="A51" s="4"/>
      <c r="B51" s="15"/>
      <c r="C51" s="13" t="s">
        <v>54</v>
      </c>
      <c r="D51" s="16"/>
      <c r="E51" s="13">
        <v>1</v>
      </c>
      <c r="F51" s="13"/>
      <c r="G51" s="12">
        <v>8.25</v>
      </c>
      <c r="H51" s="13">
        <v>1</v>
      </c>
      <c r="I51" s="13">
        <v>1</v>
      </c>
      <c r="J51" s="13"/>
      <c r="K51" s="12">
        <f t="shared" si="2"/>
        <v>8.25</v>
      </c>
      <c r="L51" s="4"/>
    </row>
    <row r="52" spans="1:12" ht="18">
      <c r="A52" s="4"/>
      <c r="B52" s="15"/>
      <c r="C52" s="13" t="s">
        <v>55</v>
      </c>
      <c r="D52" s="16"/>
      <c r="E52" s="13">
        <v>2</v>
      </c>
      <c r="F52" s="13"/>
      <c r="G52" s="12">
        <v>2</v>
      </c>
      <c r="H52" s="13">
        <v>1</v>
      </c>
      <c r="I52" s="13">
        <v>2</v>
      </c>
      <c r="J52" s="13"/>
      <c r="K52" s="12">
        <f t="shared" si="2"/>
        <v>4</v>
      </c>
      <c r="L52" s="4"/>
    </row>
    <row r="53" spans="1:12" ht="18">
      <c r="A53" s="4"/>
      <c r="B53" s="15"/>
      <c r="C53" s="13" t="s">
        <v>56</v>
      </c>
      <c r="D53" s="16"/>
      <c r="E53" s="13">
        <v>6</v>
      </c>
      <c r="F53" s="13"/>
      <c r="G53" s="12">
        <v>5.75</v>
      </c>
      <c r="H53" s="13">
        <v>1</v>
      </c>
      <c r="I53" s="13">
        <v>6</v>
      </c>
      <c r="J53" s="13"/>
      <c r="K53" s="12">
        <f t="shared" si="2"/>
        <v>34.5</v>
      </c>
      <c r="L53" s="4"/>
    </row>
    <row r="54" spans="1:12" ht="18">
      <c r="A54" s="4"/>
      <c r="B54" s="15"/>
      <c r="C54" s="13" t="s">
        <v>57</v>
      </c>
      <c r="D54" s="16"/>
      <c r="E54" s="13">
        <v>4</v>
      </c>
      <c r="F54" s="13"/>
      <c r="G54" s="12">
        <v>6.25</v>
      </c>
      <c r="H54" s="13">
        <v>1</v>
      </c>
      <c r="I54" s="13">
        <v>4</v>
      </c>
      <c r="J54" s="13"/>
      <c r="K54" s="12">
        <f t="shared" si="2"/>
        <v>25</v>
      </c>
      <c r="L54" s="4"/>
    </row>
    <row r="55" spans="1:12" ht="18">
      <c r="A55" s="4"/>
      <c r="B55" s="21"/>
      <c r="C55" s="21"/>
      <c r="D55" s="22"/>
      <c r="E55" s="21"/>
      <c r="F55" s="21"/>
      <c r="G55" s="21"/>
      <c r="H55" s="21"/>
      <c r="I55" s="21"/>
      <c r="J55" s="21"/>
      <c r="K55" s="21"/>
      <c r="L55" s="4"/>
    </row>
    <row r="56" spans="1:12" ht="18">
      <c r="A56" s="4"/>
      <c r="B56" s="31" t="s">
        <v>58</v>
      </c>
      <c r="C56" s="28"/>
      <c r="D56" s="28"/>
      <c r="E56" s="28"/>
      <c r="F56" s="28"/>
      <c r="G56" s="28"/>
      <c r="H56" s="28"/>
      <c r="I56" s="28"/>
      <c r="J56" s="28"/>
      <c r="K56" s="32"/>
      <c r="L56" s="4"/>
    </row>
    <row r="57" spans="1:12" ht="18">
      <c r="A57" s="4"/>
      <c r="B57" s="9" t="s">
        <v>2</v>
      </c>
      <c r="C57" s="6" t="s">
        <v>3</v>
      </c>
      <c r="D57" s="6" t="s">
        <v>4</v>
      </c>
      <c r="E57" s="8" t="s">
        <v>5</v>
      </c>
      <c r="F57" s="6" t="s">
        <v>6</v>
      </c>
      <c r="G57" s="6" t="s">
        <v>7</v>
      </c>
      <c r="H57" s="6" t="s">
        <v>8</v>
      </c>
      <c r="I57" s="6" t="s">
        <v>9</v>
      </c>
      <c r="J57" s="6" t="s">
        <v>10</v>
      </c>
      <c r="K57" s="14" t="s">
        <v>11</v>
      </c>
      <c r="L57" s="4"/>
    </row>
    <row r="58" spans="1:12" ht="18">
      <c r="A58" s="4"/>
      <c r="B58" s="15"/>
      <c r="C58" s="13" t="s">
        <v>59</v>
      </c>
      <c r="D58" s="16"/>
      <c r="E58" s="13">
        <v>1</v>
      </c>
      <c r="F58" s="13"/>
      <c r="G58" s="12">
        <v>3.75</v>
      </c>
      <c r="H58" s="13">
        <v>1</v>
      </c>
      <c r="I58" s="13">
        <v>2</v>
      </c>
      <c r="J58" s="13"/>
      <c r="K58" s="12">
        <f>E58*G58</f>
        <v>3.75</v>
      </c>
      <c r="L58" s="4"/>
    </row>
    <row r="59" spans="1:12" ht="18">
      <c r="A59" s="4"/>
      <c r="B59" s="15"/>
      <c r="C59" s="13" t="s">
        <v>60</v>
      </c>
      <c r="D59" s="16"/>
      <c r="E59" s="13">
        <v>2</v>
      </c>
      <c r="F59" s="13"/>
      <c r="G59" s="12">
        <v>2.5</v>
      </c>
      <c r="H59" s="13">
        <v>1</v>
      </c>
      <c r="I59" s="13">
        <v>1</v>
      </c>
      <c r="J59" s="13"/>
      <c r="K59" s="12">
        <f t="shared" ref="K59:K69" si="3">E59*G59</f>
        <v>5</v>
      </c>
      <c r="L59" s="4"/>
    </row>
    <row r="60" spans="1:12" ht="18">
      <c r="A60" s="4"/>
      <c r="B60" s="15"/>
      <c r="C60" s="13" t="s">
        <v>61</v>
      </c>
      <c r="D60" s="16"/>
      <c r="E60" s="13">
        <v>2</v>
      </c>
      <c r="F60" s="13" t="s">
        <v>32</v>
      </c>
      <c r="G60" s="12">
        <v>6.5</v>
      </c>
      <c r="H60" s="13">
        <v>1</v>
      </c>
      <c r="I60" s="13">
        <v>2</v>
      </c>
      <c r="J60" s="13"/>
      <c r="K60" s="12">
        <f t="shared" si="3"/>
        <v>13</v>
      </c>
      <c r="L60" s="4"/>
    </row>
    <row r="61" spans="1:12" ht="18">
      <c r="A61" s="4"/>
      <c r="B61" s="15"/>
      <c r="C61" s="13" t="s">
        <v>62</v>
      </c>
      <c r="D61" s="16"/>
      <c r="E61" s="13">
        <v>1</v>
      </c>
      <c r="F61" s="13" t="s">
        <v>34</v>
      </c>
      <c r="G61" s="12">
        <v>4.25</v>
      </c>
      <c r="H61" s="13">
        <v>1</v>
      </c>
      <c r="I61" s="13">
        <v>2</v>
      </c>
      <c r="J61" s="13"/>
      <c r="K61" s="12">
        <f t="shared" si="3"/>
        <v>4.25</v>
      </c>
      <c r="L61" s="4"/>
    </row>
    <row r="62" spans="1:12" ht="18">
      <c r="A62" s="4"/>
      <c r="B62" s="15"/>
      <c r="C62" s="13" t="s">
        <v>63</v>
      </c>
      <c r="D62" s="16"/>
      <c r="E62" s="13">
        <v>1</v>
      </c>
      <c r="F62" s="13" t="s">
        <v>34</v>
      </c>
      <c r="G62" s="12">
        <v>3.75</v>
      </c>
      <c r="H62" s="13">
        <v>1</v>
      </c>
      <c r="I62" s="13">
        <v>2</v>
      </c>
      <c r="J62" s="13"/>
      <c r="K62" s="12">
        <f t="shared" si="3"/>
        <v>3.75</v>
      </c>
      <c r="L62" s="4"/>
    </row>
    <row r="63" spans="1:12" ht="18">
      <c r="A63" s="4"/>
      <c r="B63" s="15"/>
      <c r="C63" s="13" t="s">
        <v>64</v>
      </c>
      <c r="D63" s="16"/>
      <c r="E63" s="13">
        <v>2</v>
      </c>
      <c r="F63" s="13"/>
      <c r="G63" s="12">
        <v>2</v>
      </c>
      <c r="H63" s="13">
        <v>1</v>
      </c>
      <c r="I63" s="13">
        <v>2</v>
      </c>
      <c r="J63" s="13"/>
      <c r="K63" s="12">
        <f t="shared" si="3"/>
        <v>4</v>
      </c>
      <c r="L63" s="4"/>
    </row>
    <row r="64" spans="1:12" ht="18">
      <c r="A64" s="4"/>
      <c r="B64" s="15"/>
      <c r="C64" s="13" t="s">
        <v>65</v>
      </c>
      <c r="D64" s="16"/>
      <c r="E64" s="13">
        <v>1</v>
      </c>
      <c r="F64" s="13" t="s">
        <v>32</v>
      </c>
      <c r="G64" s="12">
        <v>4.75</v>
      </c>
      <c r="H64" s="13">
        <v>1</v>
      </c>
      <c r="I64" s="13">
        <v>2</v>
      </c>
      <c r="J64" s="13"/>
      <c r="K64" s="12">
        <f t="shared" si="3"/>
        <v>4.75</v>
      </c>
      <c r="L64" s="4"/>
    </row>
    <row r="65" spans="1:12" ht="18">
      <c r="A65" s="4"/>
      <c r="B65" s="15"/>
      <c r="C65" s="13" t="s">
        <v>66</v>
      </c>
      <c r="D65" s="16"/>
      <c r="E65" s="13">
        <v>2</v>
      </c>
      <c r="F65" s="13" t="s">
        <v>34</v>
      </c>
      <c r="G65" s="12">
        <v>4.75</v>
      </c>
      <c r="H65" s="13">
        <v>1</v>
      </c>
      <c r="I65" s="13">
        <v>2</v>
      </c>
      <c r="J65" s="13"/>
      <c r="K65" s="12">
        <f t="shared" si="3"/>
        <v>9.5</v>
      </c>
      <c r="L65" s="4"/>
    </row>
    <row r="66" spans="1:12" ht="18">
      <c r="A66" s="4"/>
      <c r="B66" s="15"/>
      <c r="C66" s="13" t="s">
        <v>67</v>
      </c>
      <c r="D66" s="16"/>
      <c r="E66" s="13">
        <v>2</v>
      </c>
      <c r="F66" s="13"/>
      <c r="G66" s="12">
        <v>3.75</v>
      </c>
      <c r="H66" s="13">
        <v>1</v>
      </c>
      <c r="I66" s="13">
        <v>2</v>
      </c>
      <c r="J66" s="13"/>
      <c r="K66" s="12">
        <f t="shared" si="3"/>
        <v>7.5</v>
      </c>
      <c r="L66" s="4"/>
    </row>
    <row r="67" spans="1:12" ht="18">
      <c r="A67" s="4"/>
      <c r="B67" s="15"/>
      <c r="C67" s="13" t="s">
        <v>68</v>
      </c>
      <c r="D67" s="16"/>
      <c r="E67" s="13">
        <v>2</v>
      </c>
      <c r="F67" s="13"/>
      <c r="G67" s="12">
        <v>6</v>
      </c>
      <c r="H67" s="13">
        <v>1</v>
      </c>
      <c r="I67" s="13">
        <v>2</v>
      </c>
      <c r="J67" s="13"/>
      <c r="K67" s="12">
        <f t="shared" si="3"/>
        <v>12</v>
      </c>
      <c r="L67" s="4"/>
    </row>
    <row r="68" spans="1:12" ht="18">
      <c r="A68" s="4"/>
      <c r="B68" s="15"/>
      <c r="C68" s="13" t="s">
        <v>69</v>
      </c>
      <c r="D68" s="16"/>
      <c r="E68" s="13">
        <v>2</v>
      </c>
      <c r="F68" s="13" t="s">
        <v>32</v>
      </c>
      <c r="G68" s="12">
        <v>7.5</v>
      </c>
      <c r="H68" s="13">
        <v>1</v>
      </c>
      <c r="I68" s="13">
        <v>5</v>
      </c>
      <c r="J68" s="13"/>
      <c r="K68" s="12">
        <f t="shared" si="3"/>
        <v>15</v>
      </c>
      <c r="L68" s="4"/>
    </row>
    <row r="69" spans="1:12" ht="18">
      <c r="A69" s="4"/>
      <c r="B69" s="15"/>
      <c r="C69" s="13" t="s">
        <v>26</v>
      </c>
      <c r="D69" s="16"/>
      <c r="E69" s="13">
        <v>2</v>
      </c>
      <c r="F69" s="13"/>
      <c r="G69" s="12">
        <v>3.5</v>
      </c>
      <c r="H69" s="13">
        <v>1</v>
      </c>
      <c r="I69" s="13">
        <v>2</v>
      </c>
      <c r="J69" s="13"/>
      <c r="K69" s="12">
        <f t="shared" si="3"/>
        <v>7</v>
      </c>
      <c r="L69" s="4"/>
    </row>
    <row r="70" spans="1:12" ht="15.7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</row>
    <row r="71" spans="1:12" ht="18">
      <c r="B71" s="29" t="s">
        <v>70</v>
      </c>
      <c r="C71" s="28"/>
      <c r="D71" s="28"/>
      <c r="E71" s="28"/>
      <c r="F71" s="28"/>
      <c r="G71" s="28"/>
      <c r="H71" s="28"/>
      <c r="I71" s="28"/>
      <c r="J71" s="28"/>
      <c r="K71" s="28"/>
    </row>
    <row r="73" spans="1:12" ht="18" customHeight="1">
      <c r="C73" s="24" t="s">
        <v>1</v>
      </c>
      <c r="D73" s="25">
        <f>SUM(K8:K21)</f>
        <v>117.75</v>
      </c>
    </row>
    <row r="74" spans="1:12" ht="18" customHeight="1">
      <c r="C74" s="24" t="s">
        <v>71</v>
      </c>
      <c r="D74" s="25">
        <f>SUM(K25:K44)</f>
        <v>212</v>
      </c>
    </row>
    <row r="75" spans="1:12" ht="18" customHeight="1">
      <c r="C75" s="24" t="s">
        <v>72</v>
      </c>
      <c r="D75" s="25">
        <f>SUM(K48:K54)</f>
        <v>146.75</v>
      </c>
    </row>
    <row r="76" spans="1:12" ht="18" customHeight="1">
      <c r="C76" s="24" t="s">
        <v>58</v>
      </c>
      <c r="D76" s="26">
        <f>SUM(K58:K69)</f>
        <v>89.5</v>
      </c>
    </row>
    <row r="78" spans="1:12" ht="18">
      <c r="C78" s="4" t="s">
        <v>73</v>
      </c>
      <c r="D78" s="7">
        <f>SUM(K8:K21,K25:K44,K48:K54,K58:K69)</f>
        <v>566</v>
      </c>
    </row>
  </sheetData>
  <mergeCells count="6">
    <mergeCell ref="B2:K4"/>
    <mergeCell ref="B71:K71"/>
    <mergeCell ref="B6:K6"/>
    <mergeCell ref="B23:K23"/>
    <mergeCell ref="B46:K46"/>
    <mergeCell ref="B56:K56"/>
  </mergeCells>
  <conditionalFormatting sqref="B8:B21">
    <cfRule type="expression" dxfId="38" priority="40">
      <formula>IFERROR(IF(E8=(H8+1),1,0),0)</formula>
    </cfRule>
    <cfRule type="expression" dxfId="37" priority="93">
      <formula>IFERROR(IF(E8&lt;=H8,1,0),0)</formula>
    </cfRule>
  </conditionalFormatting>
  <conditionalFormatting sqref="B25:B44">
    <cfRule type="expression" dxfId="36" priority="20">
      <formula>IFERROR(IF(E25=(H25+1),1,0),0)</formula>
    </cfRule>
    <cfRule type="expression" dxfId="35" priority="73">
      <formula>IFERROR(IF(E25&lt;=H25,1,0),0)</formula>
    </cfRule>
  </conditionalFormatting>
  <conditionalFormatting sqref="B48:B54">
    <cfRule type="expression" dxfId="34" priority="13">
      <formula>IFERROR(IF(E48=(H48+1),1,0),0)</formula>
    </cfRule>
    <cfRule type="expression" dxfId="33" priority="66">
      <formula>IFERROR(IF(E48&lt;=H48,1,0),0)</formula>
    </cfRule>
  </conditionalFormatting>
  <conditionalFormatting sqref="B58:B69">
    <cfRule type="expression" dxfId="32" priority="1">
      <formula>IFERROR(IF(E58=(H58+1),1,0),0)</formula>
    </cfRule>
    <cfRule type="expression" dxfId="31" priority="54">
      <formula>IFERROR(IF(E58&lt;=H58,1,0),0)</formula>
    </cfRule>
  </conditionalFormatting>
  <dataValidations count="1">
    <dataValidation type="list" allowBlank="1" showErrorMessage="1" sqref="J8:J21 J25:J44 J48:J54 J58:J69" xr:uid="{00000000-0002-0000-0000-000000000000}">
      <formula1>"Restaurant Depot,Walmart,Target,Misc"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2B90-0C86-4A44-914C-319B1FA255F6}">
  <sheetPr codeName="Sheet2"/>
  <dimension ref="B2:G15"/>
  <sheetViews>
    <sheetView tabSelected="1" workbookViewId="0">
      <selection activeCell="G9" sqref="G9"/>
    </sheetView>
  </sheetViews>
  <sheetFormatPr defaultRowHeight="12.75"/>
  <cols>
    <col min="2" max="3" width="15.7109375" customWidth="1"/>
  </cols>
  <sheetData>
    <row r="2" spans="2:7">
      <c r="B2" s="33" t="s">
        <v>75</v>
      </c>
      <c r="C2" s="33" t="s">
        <v>76</v>
      </c>
      <c r="D2" s="33" t="s">
        <v>77</v>
      </c>
      <c r="E2" s="33" t="s">
        <v>78</v>
      </c>
      <c r="F2" s="33" t="s">
        <v>79</v>
      </c>
      <c r="G2" s="33" t="s">
        <v>80</v>
      </c>
    </row>
    <row r="3" spans="2:7">
      <c r="B3" s="34" t="s">
        <v>74</v>
      </c>
      <c r="C3" s="34" t="s">
        <v>74</v>
      </c>
      <c r="D3" s="33" t="s">
        <v>74</v>
      </c>
      <c r="E3" s="33"/>
      <c r="F3" s="33"/>
      <c r="G3" s="33"/>
    </row>
    <row r="4" spans="2:7">
      <c r="B4" s="34" t="s">
        <v>81</v>
      </c>
      <c r="C4" s="34">
        <v>123</v>
      </c>
      <c r="D4" s="33" t="s">
        <v>75</v>
      </c>
      <c r="E4" s="33"/>
      <c r="F4" s="33"/>
      <c r="G4" s="33"/>
    </row>
    <row r="5" spans="2:7">
      <c r="B5" s="34" t="s">
        <v>82</v>
      </c>
      <c r="C5" s="34" t="s">
        <v>83</v>
      </c>
      <c r="D5" s="33" t="s">
        <v>75</v>
      </c>
      <c r="E5" s="33"/>
      <c r="F5" s="33"/>
      <c r="G5" s="33"/>
    </row>
    <row r="6" spans="2:7">
      <c r="B6" s="34"/>
      <c r="C6" s="34"/>
      <c r="D6" s="33"/>
      <c r="E6" s="33"/>
      <c r="F6" s="33"/>
      <c r="G6" s="33"/>
    </row>
    <row r="7" spans="2:7">
      <c r="B7" s="34"/>
      <c r="C7" s="34"/>
      <c r="D7" s="33"/>
      <c r="E7" s="33"/>
      <c r="F7" s="33"/>
      <c r="G7" s="33"/>
    </row>
    <row r="8" spans="2:7">
      <c r="B8" s="34"/>
      <c r="C8" s="34"/>
      <c r="D8" s="33"/>
      <c r="E8" s="33"/>
      <c r="F8" s="33"/>
      <c r="G8" s="33"/>
    </row>
    <row r="9" spans="2:7">
      <c r="B9" s="34"/>
      <c r="C9" s="34"/>
      <c r="D9" s="33"/>
      <c r="E9" s="33"/>
      <c r="F9" s="33"/>
      <c r="G9" s="33"/>
    </row>
    <row r="10" spans="2:7">
      <c r="B10" s="34"/>
      <c r="C10" s="34"/>
      <c r="D10" s="33"/>
      <c r="E10" s="33"/>
      <c r="F10" s="33"/>
      <c r="G10" s="33"/>
    </row>
    <row r="11" spans="2:7">
      <c r="B11" s="34"/>
      <c r="C11" s="34"/>
      <c r="D11" s="33"/>
      <c r="E11" s="33"/>
      <c r="F11" s="33"/>
      <c r="G11" s="33"/>
    </row>
    <row r="12" spans="2:7">
      <c r="B12" s="34"/>
      <c r="C12" s="34"/>
      <c r="D12" s="33"/>
      <c r="E12" s="33"/>
      <c r="F12" s="33"/>
      <c r="G12" s="33"/>
    </row>
    <row r="13" spans="2:7">
      <c r="B13" s="34"/>
      <c r="C13" s="34"/>
      <c r="D13" s="33"/>
      <c r="E13" s="33"/>
      <c r="F13" s="33"/>
      <c r="G13" s="33"/>
    </row>
    <row r="14" spans="2:7">
      <c r="B14" s="34"/>
      <c r="C14" s="34"/>
      <c r="D14" s="33"/>
      <c r="E14" s="33"/>
      <c r="F14" s="33"/>
      <c r="G14" s="33"/>
    </row>
    <row r="15" spans="2:7">
      <c r="B15" s="34"/>
      <c r="C15" s="34"/>
      <c r="D15" s="33"/>
      <c r="E15" s="33"/>
      <c r="F15" s="33"/>
      <c r="G15" s="33"/>
    </row>
  </sheetData>
  <dataValidations count="1">
    <dataValidation type="list" allowBlank="1" showInputMessage="1" showErrorMessage="1" sqref="D3:D15" xr:uid="{DD19C548-2F1C-4CC3-B9E4-F28994D3E8F0}">
      <formula1>"Admin, User"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Inventory</vt:lpstr>
      <vt:lpstr>Users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angueira</dc:creator>
  <cp:keywords/>
  <dc:description/>
  <cp:lastModifiedBy>richard angueira</cp:lastModifiedBy>
  <cp:revision/>
  <dcterms:created xsi:type="dcterms:W3CDTF">2023-10-11T20:35:46Z</dcterms:created>
  <dcterms:modified xsi:type="dcterms:W3CDTF">2023-12-12T12:23:54Z</dcterms:modified>
  <cp:category/>
  <cp:contentStatus/>
</cp:coreProperties>
</file>